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ad79b7429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ed Demo" sheetId="1" r:id="R6c33e2856b3e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33648"/>
      <x:name val="Aptos"/>
    </x:font>
    <x:font>
      <x:b/>
      <x:sz val="15"/>
      <x:color rgb="FFFFFFFF"/>
      <x:name val="Aptos"/>
    </x:font>
    <x:font>
      <x:sz val="10"/>
      <x:color rgb="FF61778B"/>
      <x:name val="Aptos"/>
    </x:font>
    <x:font>
      <x:b/>
      <x:sz val="10"/>
      <x:color rgb="FFFFFFFF"/>
      <x:name val="Aptos"/>
    </x:font>
    <x:font>
      <x:sz val="9"/>
      <x:color rgb="FF61778B"/>
      <x:name val="Aptos"/>
    </x:font>
    <x:font>
      <x:b/>
      <x:sz val="10"/>
      <x:color rgb="FF99620B"/>
      <x:name val="Aptos"/>
    </x:font>
    <x:font>
      <x:sz val="10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93248"/>
      </x:patternFill>
    </x:fill>
    <x:fill>
      <x:patternFill patternType="solid">
        <x:fgColor rgb="FFF3F6FA"/>
      </x:patternFill>
    </x:fill>
    <x:fill>
      <x:patternFill patternType="solid">
        <x:fgColor rgb="FF087C83"/>
      </x:patternFill>
    </x:fill>
    <x:fill>
      <x:patternFill patternType="solid">
        <x:fgColor rgb="FFFFF2DC"/>
      </x:patternFill>
    </x:fill>
    <x:fill>
      <x:patternFill patternType="solid">
        <x:fgColor rgb="FFEDF5FB"/>
      </x:patternFill>
    </x:fill>
    <x:fill>
      <x:patternFill patternType="solid">
        <x:fgColor rgb="FFFFFFFF"/>
      </x:patternFill>
    </x:fill>
    <x:fill>
      <x:patternFill patternType="solid">
        <x:fgColor rgb="FF18354F"/>
      </x:patternFill>
    </x:fill>
    <x:fill>
      <x:patternFill patternType="solid">
        <x:fgColor rgb="FF0F7888"/>
      </x:patternFill>
    </x:fill>
  </x:fills>
  <x:borders count="3">
    <x:border/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9" borderId="2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6649d344e479c" /><Relationship Type="http://schemas.openxmlformats.org/officeDocument/2006/relationships/theme" Target="/xl/theme/theme1.xml" Id="R336643fc2c3d4da8" /><Relationship Type="http://schemas.openxmlformats.org/officeDocument/2006/relationships/sharedStrings" Target="/xl/sharedStrings.xml" Id="R5e3dfd9bbcc54db6" /><Relationship Type="http://schemas.openxmlformats.org/officeDocument/2006/relationships/worksheet" Target="/xl/worksheets/sheet1.xml" Id="R6c33e2856b3e45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7" hidden="0" customWidth="1"/>
    <x:col min="3" max="3" width="20" hidden="0" customWidth="1"/>
    <x:col min="4" max="4" width="23" hidden="0" customWidth="1"/>
    <x:col min="5" max="5" width="23" hidden="0" customWidth="1"/>
    <x:col min="6" max="6" width="22" hidden="0" customWidth="1"/>
  </x:cols>
  <x:sheetData>
    <x:row r="1" ht="37" customHeight="1">
      <x:c r="A1" s="38" t="str">
        <x:v>IBIS AUTOMATION  /  Generated Config  ·  DEMO</x:v>
      </x:c>
      <x:c r="B1" s="38"/>
      <x:c r="C1" s="38"/>
      <x:c r="D1" s="38"/>
      <x:c r="E1" s="38"/>
      <x:c r="F1" s="38"/>
    </x:row>
    <x:row r="2" ht="28" customHeight="1">
      <x:c r="A2" s="30" t="str">
        <x:v>预处理输出示意（未实际扫描文件）；灰色为自动结果，浅橙色待确认。正式输出只生成实际需要的行。</x:v>
      </x:c>
      <x:c r="B2" s="30"/>
      <x:c r="C2" s="30"/>
      <x:c r="D2" s="30"/>
      <x:c r="E2" s="30"/>
      <x:c r="F2" s="30"/>
    </x:row>
    <x:row r="3" ht="23" customHeight="1">
      <x:c r="A3" s="31"/>
      <x:c r="B3" s="31"/>
      <x:c r="C3" s="31"/>
      <x:c r="D3" s="31"/>
      <x:c r="E3" s="31"/>
      <x:c r="F3" s="31"/>
    </x:row>
    <x:row r="4" ht="26" customHeight="1">
      <x:c r="A4" s="39" t="str">
        <x:v>01   Resolved Sources</x:v>
      </x:c>
      <x:c r="B4" s="39"/>
      <x:c r="C4" s="39"/>
      <x:c r="D4" s="39"/>
      <x:c r="E4" s="39"/>
      <x:c r="F4" s="39"/>
    </x:row>
    <x:row r="5" ht="25" customHeight="1">
      <x:c r="A5" s="40" t="str">
        <x:v>Source</x:v>
      </x:c>
      <x:c r="B5" s="40" t="str">
        <x:v>Resolved Path / File</x:v>
      </x:c>
      <x:c r="C5" s="40" t="str">
        <x:v>Status</x:v>
      </x:c>
      <x:c r="D5" s="43"/>
      <x:c r="E5" s="43"/>
      <x:c r="F5" s="43"/>
    </x:row>
    <x:row r="6" ht="23" customHeight="1">
      <x:c r="A6" s="36" t="str">
        <x:v>Model Source</x:v>
      </x:c>
      <x:c r="B6" s="36" t="str">
        <x:v>/project/pdk/models</x:v>
      </x:c>
      <x:c r="C6" s="36" t="str">
        <x:v>DEMO</x:v>
      </x:c>
      <x:c r="D6" s="31"/>
      <x:c r="E6" s="31"/>
      <x:c r="F6" s="31"/>
    </x:row>
    <x:row r="7" ht="23" customHeight="1">
      <x:c r="A7" s="36" t="str">
        <x:v>MSI Source</x:v>
      </x:c>
      <x:c r="B7" s="36" t="str">
        <x:v>/project/msi/</x:v>
      </x:c>
      <x:c r="C7" s="36" t="str">
        <x:v>DEMO</x:v>
      </x:c>
      <x:c r="D7" s="31"/>
      <x:c r="E7" s="31"/>
      <x:c r="F7" s="31"/>
    </x:row>
    <x:row r="8" ht="23" customHeight="1">
      <x:c r="A8" s="36" t="str">
        <x:v>SPF Source</x:v>
      </x:c>
      <x:c r="B8" s="36" t="str">
        <x:v>/project/spf/</x:v>
      </x:c>
      <x:c r="C8" s="36" t="str">
        <x:v>DEMO</x:v>
      </x:c>
      <x:c r="D8" s="31"/>
      <x:c r="E8" s="31"/>
      <x:c r="F8" s="31"/>
    </x:row>
    <x:row r="9" ht="23" customHeight="1">
      <x:c r="A9" s="36" t="str">
        <x:v>T2B Source</x:v>
      </x:c>
      <x:c r="B9" s="36" t="str">
        <x:v>bundled /templates/t2b</x:v>
      </x:c>
      <x:c r="C9" s="36" t="str">
        <x:v>DEFAULT</x:v>
      </x:c>
      <x:c r="D9" s="31"/>
      <x:c r="E9" s="31"/>
      <x:c r="F9" s="31"/>
    </x:row>
    <x:row r="10" ht="23" customHeight="1">
      <x:c r="A10" s="31"/>
      <x:c r="B10" s="31"/>
      <x:c r="C10" s="31"/>
      <x:c r="D10" s="31"/>
      <x:c r="E10" s="31"/>
      <x:c r="F10" s="31"/>
    </x:row>
    <x:row r="11" ht="26" customHeight="1">
      <x:c r="A11" s="39" t="str">
        <x:v>02   Resolved Module Plans</x:v>
      </x:c>
      <x:c r="B11" s="39"/>
      <x:c r="C11" s="39"/>
      <x:c r="D11" s="39"/>
      <x:c r="E11" s="39"/>
      <x:c r="F11" s="39"/>
    </x:row>
    <x:row r="12" ht="25" customHeight="1">
      <x:c r="A12" s="40" t="str">
        <x:v>Module</x:v>
      </x:c>
      <x:c r="B12" s="40" t="str">
        <x:v>Direction</x:v>
      </x:c>
      <x:c r="C12" s="40" t="str">
        <x:v>Topology</x:v>
      </x:c>
      <x:c r="D12" s="40" t="str">
        <x:v>IO Domain</x:v>
      </x:c>
      <x:c r="E12" s="40" t="str">
        <x:v>VIH Domain</x:v>
      </x:c>
      <x:c r="F12" s="40" t="str">
        <x:v>Ron (Ω)</x:v>
      </x:c>
    </x:row>
    <x:row r="13" ht="23" customHeight="1">
      <x:c r="A13" s="36" t="str">
        <x:v>aks_lpddrphy_io_diff_ew_ibis</x:v>
      </x:c>
      <x:c r="B13" s="36" t="str">
        <x:v>DRV</x:v>
      </x:c>
      <x:c r="C13" s="36" t="str">
        <x:v>DIFF</x:v>
      </x:c>
      <x:c r="D13" s="36" t="str">
        <x:v>VDDQ</x:v>
      </x:c>
      <x:c r="E13" s="36" t="str">
        <x:v>VDDQ</x:v>
      </x:c>
      <x:c r="F13" s="36" t="str">
        <x:v>30,34,40</x:v>
      </x:c>
    </x:row>
    <x:row r="14" ht="23" customHeight="1">
      <x:c r="A14" s="36" t="str">
        <x:v>aks_lpddrphy_io_se_ew_ibis</x:v>
      </x:c>
      <x:c r="B14" s="36" t="str">
        <x:v>DRV</x:v>
      </x:c>
      <x:c r="C14" s="36" t="str">
        <x:v>SE</x:v>
      </x:c>
      <x:c r="D14" s="36" t="str">
        <x:v>VDDQ</x:v>
      </x:c>
      <x:c r="E14" s="36" t="str">
        <x:v>VDDQ</x:v>
      </x:c>
      <x:c r="F14" s="36" t="str">
        <x:v>30,40</x:v>
      </x:c>
    </x:row>
    <x:row r="15" ht="23" customHeight="1">
      <x:c r="A15" s="31"/>
      <x:c r="B15" s="31"/>
      <x:c r="C15" s="31"/>
      <x:c r="D15" s="31"/>
      <x:c r="E15" s="31"/>
      <x:c r="F15" s="31"/>
    </x:row>
    <x:row r="16" ht="26" customHeight="1">
      <x:c r="A16" s="39" t="str">
        <x:v>03   Corner / Power / Signal</x:v>
      </x:c>
      <x:c r="B16" s="39"/>
      <x:c r="C16" s="39"/>
      <x:c r="D16" s="39"/>
      <x:c r="E16" s="39"/>
      <x:c r="F16" s="39"/>
    </x:row>
    <x:row r="17" ht="25" customHeight="1">
      <x:c r="A17" s="40" t="str">
        <x:v>Category</x:v>
      </x:c>
      <x:c r="B17" s="40" t="str">
        <x:v>Parameter</x:v>
      </x:c>
      <x:c r="C17" s="40" t="str">
        <x:v>MAX</x:v>
      </x:c>
      <x:c r="D17" s="40" t="str">
        <x:v>TYP</x:v>
      </x:c>
      <x:c r="E17" s="40" t="str">
        <x:v>MIN</x:v>
      </x:c>
      <x:c r="F17" s="43" t="str">
        <x:v>Source</x:v>
      </x:c>
    </x:row>
    <x:row r="18" ht="25" customHeight="1">
      <x:c r="A18" s="36" t="str">
        <x:v>Corner</x:v>
      </x:c>
      <x:c r="B18" s="36" t="str">
        <x:v>Process</x:v>
      </x:c>
      <x:c r="C18" s="36" t="str">
        <x:v>FF</x:v>
      </x:c>
      <x:c r="D18" s="36" t="str">
        <x:v>TT</x:v>
      </x:c>
      <x:c r="E18" s="36" t="str">
        <x:v>SS</x:v>
      </x:c>
      <x:c r="F18" s="31" t="str">
        <x:v>INPUT</x:v>
      </x:c>
    </x:row>
    <x:row r="19" ht="25" customHeight="1">
      <x:c r="A19" s="36" t="str">
        <x:v>Corner</x:v>
      </x:c>
      <x:c r="B19" s="36" t="str">
        <x:v>Temperature</x:v>
      </x:c>
      <x:c r="C19" s="36" t="n">
        <x:v>125</x:v>
      </x:c>
      <x:c r="D19" s="36" t="n">
        <x:v>25</x:v>
      </x:c>
      <x:c r="E19" s="36" t="n">
        <x:v>-40</x:v>
      </x:c>
      <x:c r="F19" s="31" t="str">
        <x:v>INPUT</x:v>
      </x:c>
    </x:row>
    <x:row r="20" ht="25" customHeight="1">
      <x:c r="A20" s="36" t="str">
        <x:v>Timing</x:v>
      </x:c>
      <x:c r="B20" s="36" t="str">
        <x:v>Tr</x:v>
      </x:c>
      <x:c r="C20" s="36" t="str">
        <x:v>20p</x:v>
      </x:c>
      <x:c r="D20" s="36" t="str">
        <x:v>20p</x:v>
      </x:c>
      <x:c r="E20" s="36" t="str">
        <x:v>20p</x:v>
      </x:c>
      <x:c r="F20" s="31" t="str">
        <x:v>INPUT</x:v>
      </x:c>
    </x:row>
    <x:row r="21" ht="25" customHeight="1">
      <x:c r="A21" s="36" t="str">
        <x:v>Timing</x:v>
      </x:c>
      <x:c r="B21" s="36" t="str">
        <x:v>Tf</x:v>
      </x:c>
      <x:c r="C21" s="36" t="str">
        <x:v>20p</x:v>
      </x:c>
      <x:c r="D21" s="36" t="str">
        <x:v>20p</x:v>
      </x:c>
      <x:c r="E21" s="36" t="str">
        <x:v>20p</x:v>
      </x:c>
      <x:c r="F21" s="31" t="str">
        <x:v>INPUT</x:v>
      </x:c>
    </x:row>
    <x:row r="22" ht="25" customHeight="1">
      <x:c r="A22" s="36" t="str">
        <x:v>Voltage</x:v>
      </x:c>
      <x:c r="B22" s="36" t="str">
        <x:v>VDDQ</x:v>
      </x:c>
      <x:c r="C22" s="36" t="n">
        <x:v>0.9</x:v>
      </x:c>
      <x:c r="D22" s="36" t="n">
        <x:v>0.85</x:v>
      </x:c>
      <x:c r="E22" s="36" t="n">
        <x:v>0.8</x:v>
      </x:c>
      <x:c r="F22" s="31" t="str">
        <x:v>T2B/MSI + INPUT</x:v>
      </x:c>
    </x:row>
    <x:row r="23" ht="25" customHeight="1">
      <x:c r="A23" s="36" t="str">
        <x:v>Voltage</x:v>
      </x:c>
      <x:c r="B23" s="36" t="str">
        <x:v>VSS</x:v>
      </x:c>
      <x:c r="C23" s="36" t="n">
        <x:v>0</x:v>
      </x:c>
      <x:c r="D23" s="36" t="n">
        <x:v>0</x:v>
      </x:c>
      <x:c r="E23" s="36" t="n">
        <x:v>0</x:v>
      </x:c>
      <x:c r="F23" s="31" t="str">
        <x:v>T2B + INPUT</x:v>
      </x:c>
    </x:row>
    <x:row r="24" ht="25" customHeight="1">
      <x:c r="A24" s="36" t="str">
        <x:v>Signal</x:v>
      </x:c>
      <x:c r="B24" s="36" t="str">
        <x:v>reg_cal_pd[7:0]</x:v>
      </x:c>
      <x:c r="C24" s="36" t="str">
        <x:v>8'h4C</x:v>
      </x:c>
      <x:c r="D24" s="36" t="str">
        <x:v>8'h44</x:v>
      </x:c>
      <x:c r="E24" s="36" t="str">
        <x:v>8'h5A</x:v>
      </x:c>
      <x:c r="F24" s="31" t="str">
        <x:v>INPUT</x:v>
      </x:c>
    </x:row>
    <x:row r="25" ht="25" customHeight="1">
      <x:c r="A25" s="36" t="str">
        <x:v>SPF</x:v>
      </x:c>
      <x:c r="B25" s="36" t="str">
        <x:v>Match Key</x:v>
      </x:c>
      <x:c r="C25" s="36" t="str">
        <x:v>rcbest_ccbest</x:v>
      </x:c>
      <x:c r="D25" s="36" t="str">
        <x:v>typical</x:v>
      </x:c>
      <x:c r="E25" s="36" t="str">
        <x:v>rcworst_ccworst</x:v>
      </x:c>
      <x:c r="F25" s="31" t="str">
        <x:v>INPUT</x:v>
      </x:c>
    </x:row>
    <x:row r="26" ht="23" customHeight="1">
      <x:c r="A26" s="31"/>
      <x:c r="B26" s="31"/>
      <x:c r="C26" s="31"/>
      <x:c r="D26" s="31"/>
      <x:c r="E26" s="31"/>
      <x:c r="F26" s="31"/>
    </x:row>
    <x:row r="27" ht="26" customHeight="1">
      <x:c r="A27" s="39" t="str">
        <x:v>04   IBIS Pin Mapping  /  只处理 T2B [Pin]</x:v>
      </x:c>
      <x:c r="B27" s="39"/>
      <x:c r="C27" s="39"/>
      <x:c r="D27" s="39"/>
      <x:c r="E27" s="39"/>
      <x:c r="F27" s="39"/>
    </x:row>
    <x:row r="28" ht="25" customHeight="1">
      <x:c r="A28" s="40" t="str">
        <x:v>Module</x:v>
      </x:c>
      <x:c r="B28" s="40" t="str">
        <x:v>Direction</x:v>
      </x:c>
      <x:c r="C28" s="40" t="str">
        <x:v>T2B Pin</x:v>
      </x:c>
      <x:c r="D28" s="40" t="str">
        <x:v>SPF Pin</x:v>
      </x:c>
      <x:c r="E28" s="40" t="str">
        <x:v>Status</x:v>
      </x:c>
      <x:c r="F28" s="43"/>
    </x:row>
    <x:row r="29" ht="23" customHeight="1">
      <x:c r="A29" s="36" t="str">
        <x:v>io_diff</x:v>
      </x:c>
      <x:c r="B29" s="36" t="str">
        <x:v>DRV</x:v>
      </x:c>
      <x:c r="C29" s="36" t="str">
        <x:v>ipadt</x:v>
      </x:c>
      <x:c r="D29" s="36"/>
      <x:c r="E29" s="36" t="str">
        <x:f>IF(D29="","UNRESOLVED","MANUAL")</x:f>
        <x:v>UNRESOLVED</x:v>
      </x:c>
      <x:c r="F29" s="31"/>
    </x:row>
    <x:row r="30" ht="23" customHeight="1">
      <x:c r="A30" s="36" t="str">
        <x:v>io_diff</x:v>
      </x:c>
      <x:c r="B30" s="36" t="str">
        <x:v>DRV</x:v>
      </x:c>
      <x:c r="C30" s="36" t="str">
        <x:v>ipadc</x:v>
      </x:c>
      <x:c r="D30" s="36"/>
      <x:c r="E30" s="36" t="str">
        <x:f>IF(D30="","UNRESOLVED","MANUAL")</x:f>
        <x:v>UNRESOLVED</x:v>
      </x:c>
      <x:c r="F30" s="31"/>
    </x:row>
    <x:row r="31" ht="23" customHeight="1">
      <x:c r="A31" s="36" t="str">
        <x:v>io_diff</x:v>
      </x:c>
      <x:c r="B31" s="36" t="str">
        <x:v>DRV</x:v>
      </x:c>
      <x:c r="C31" s="36" t="str">
        <x:v>txdat</x:v>
      </x:c>
      <x:c r="D31" s="36" t="str">
        <x:v>txdat</x:v>
      </x:c>
      <x:c r="E31" s="36" t="str">
        <x:v>AUTO_MATCH</x:v>
      </x:c>
      <x:c r="F31" s="31"/>
    </x:row>
    <x:row r="32" ht="23" customHeight="1">
      <x:c r="A32" s="36" t="str">
        <x:v>io_diff</x:v>
      </x:c>
      <x:c r="B32" s="36" t="str">
        <x:v>DRV</x:v>
      </x:c>
      <x:c r="C32" s="36" t="str">
        <x:v>txoe</x:v>
      </x:c>
      <x:c r="D32" s="36" t="str">
        <x:v>txoe</x:v>
      </x:c>
      <x:c r="E32" s="36" t="str">
        <x:v>AUTO_MATCH</x:v>
      </x:c>
      <x:c r="F32" s="31"/>
    </x:row>
    <x:row r="33" ht="23" customHeight="1">
      <x:c r="A33" s="36" t="str">
        <x:v>io_diff</x:v>
      </x:c>
      <x:c r="B33" s="36" t="str">
        <x:v>DRV</x:v>
      </x:c>
      <x:c r="C33" s="36" t="str">
        <x:v>vddq</x:v>
      </x:c>
      <x:c r="D33" s="36" t="str">
        <x:v>vddq</x:v>
      </x:c>
      <x:c r="E33" s="36" t="str">
        <x:v>AUTO_MATCH</x:v>
      </x:c>
      <x:c r="F33" s="31"/>
    </x:row>
    <x:row r="34" ht="23" customHeight="1">
      <x:c r="A34" s="36" t="str">
        <x:v>io_diff</x:v>
      </x:c>
      <x:c r="B34" s="36" t="str">
        <x:v>DRV</x:v>
      </x:c>
      <x:c r="C34" s="36" t="str">
        <x:v>vss</x:v>
      </x:c>
      <x:c r="D34" s="36" t="str">
        <x:v>vss</x:v>
      </x:c>
      <x:c r="E34" s="36" t="str">
        <x:v>AUTO_MATCH</x:v>
      </x:c>
      <x:c r="F34" s="31"/>
    </x:row>
    <x:row r="35" ht="23" customHeight="1">
      <x:c r="A35" s="36" t="str">
        <x:v>io_se</x:v>
      </x:c>
      <x:c r="B35" s="36" t="str">
        <x:v>DRV</x:v>
      </x:c>
      <x:c r="C35" s="36" t="str">
        <x:v>iopad</x:v>
      </x:c>
      <x:c r="D35" s="36" t="str">
        <x:v>iopad</x:v>
      </x:c>
      <x:c r="E35" s="36" t="str">
        <x:v>AUTO_MATCH</x:v>
      </x:c>
      <x:c r="F35" s="31"/>
    </x:row>
    <x:row r="36" ht="23" customHeight="1">
      <x:c r="A36" s="36" t="str">
        <x:v>io_se</x:v>
      </x:c>
      <x:c r="B36" s="36" t="str">
        <x:v>DRV</x:v>
      </x:c>
      <x:c r="C36" s="36" t="str">
        <x:v>txdat</x:v>
      </x:c>
      <x:c r="D36" s="36" t="str">
        <x:v>txdat</x:v>
      </x:c>
      <x:c r="E36" s="36" t="str">
        <x:v>AUTO_MATCH</x:v>
      </x:c>
      <x:c r="F36" s="31"/>
    </x:row>
    <x:row r="37" ht="23" customHeight="1">
      <x:c r="A37" s="36" t="str">
        <x:v>io_se</x:v>
      </x:c>
      <x:c r="B37" s="36" t="str">
        <x:v>DRV</x:v>
      </x:c>
      <x:c r="C37" s="36" t="str">
        <x:v>txoe</x:v>
      </x:c>
      <x:c r="D37" s="36" t="str">
        <x:v>txoe</x:v>
      </x:c>
      <x:c r="E37" s="36" t="str">
        <x:v>AUTO_MATCH</x:v>
      </x:c>
      <x:c r="F37" s="31"/>
    </x:row>
    <x:row r="38" ht="23" customHeight="1">
      <x:c r="A38" s="36" t="str">
        <x:v>io_se</x:v>
      </x:c>
      <x:c r="B38" s="36" t="str">
        <x:v>DRV</x:v>
      </x:c>
      <x:c r="C38" s="36" t="str">
        <x:v>vddq</x:v>
      </x:c>
      <x:c r="D38" s="36" t="str">
        <x:v>vddq</x:v>
      </x:c>
      <x:c r="E38" s="36" t="str">
        <x:v>AUTO_MATCH</x:v>
      </x:c>
      <x:c r="F38" s="31"/>
    </x:row>
    <x:row r="39" ht="23" customHeight="1">
      <x:c r="A39" s="36" t="str">
        <x:v>io_se</x:v>
      </x:c>
      <x:c r="B39" s="36" t="str">
        <x:v>DRV</x:v>
      </x:c>
      <x:c r="C39" s="36" t="str">
        <x:v>vss</x:v>
      </x:c>
      <x:c r="D39" s="36" t="str">
        <x:v>vss</x:v>
      </x:c>
      <x:c r="E39" s="36" t="str">
        <x:v>AUTO_MATCH</x:v>
      </x:c>
      <x:c r="F39" s="31"/>
    </x:row>
    <x:row r="40" ht="22" customHeight="1">
      <x:c r="A40" s="33" t="str">
        <x:v>示例：ipadt≠IOPADT，ipadc≠IOPADC，必须人工选择；txoe=txoe 自动匹配。只有 IBIS Pin 会被替换。</x:v>
      </x:c>
      <x:c r="B40" s="33"/>
      <x:c r="C40" s="33"/>
      <x:c r="D40" s="33"/>
      <x:c r="E40" s="33"/>
      <x:c r="F40" s="33"/>
    </x:row>
    <x:row r="41" ht="23" customHeight="1">
      <x:c r="A41" s="31"/>
      <x:c r="B41" s="31"/>
      <x:c r="C41" s="31"/>
      <x:c r="D41" s="31"/>
      <x:c r="E41" s="31"/>
      <x:c r="F41" s="31"/>
    </x:row>
    <x:row r="42" ht="26" customHeight="1">
      <x:c r="A42" s="39" t="str">
        <x:v>05   CKT Append  /  可完全留空</x:v>
      </x:c>
      <x:c r="B42" s="39"/>
      <x:c r="C42" s="39"/>
      <x:c r="D42" s="39"/>
      <x:c r="E42" s="39"/>
      <x:c r="F42" s="39"/>
    </x:row>
    <x:row r="43" ht="25" customHeight="1">
      <x:c r="A43" s="40" t="str">
        <x:v>Module</x:v>
      </x:c>
      <x:c r="B43" s="40" t="str">
        <x:v>Direction</x:v>
      </x:c>
      <x:c r="C43" s="40" t="str">
        <x:v>SPICE Body</x:v>
      </x:c>
      <x:c r="D43" s="40" t="str">
        <x:v>Status</x:v>
      </x:c>
      <x:c r="E43" s="43"/>
      <x:c r="F43" s="43"/>
    </x:row>
    <x:row r="44" ht="23" customHeight="1">
      <x:c r="A44" s="36" t="str">
        <x:v>io_diff</x:v>
      </x:c>
      <x:c r="B44" s="36" t="str">
        <x:v>DRV</x:v>
      </x:c>
      <x:c r="C44" s="36"/>
      <x:c r="D44" s="36" t="str">
        <x:v>NO_APPEND</x:v>
      </x:c>
      <x:c r="E44" s="31"/>
      <x:c r="F44" s="31"/>
    </x:row>
    <x:row r="45" ht="23" customHeight="1">
      <x:c r="A45" s="36" t="str">
        <x:v>io_se</x:v>
      </x:c>
      <x:c r="B45" s="36" t="str">
        <x:v>DRV</x:v>
      </x:c>
      <x:c r="C45" s="36"/>
      <x:c r="D45" s="36" t="str">
        <x:v>NO_APPEND</x:v>
      </x:c>
      <x:c r="E45" s="31"/>
      <x:c r="F45" s="31"/>
    </x:row>
    <x:row r="46" ht="23" customHeight="1">
      <x:c r="A46" s="31"/>
      <x:c r="B46" s="31"/>
      <x:c r="C46" s="31"/>
      <x:c r="D46" s="31"/>
      <x:c r="E46" s="31"/>
      <x:c r="F46" s="31"/>
    </x:row>
    <x:row r="47" ht="26" customHeight="1">
      <x:c r="A47" s="39" t="str">
        <x:v>06   Signal Override  /  空白 = 继承默认</x:v>
      </x:c>
      <x:c r="B47" s="39"/>
      <x:c r="C47" s="39"/>
      <x:c r="D47" s="39"/>
      <x:c r="E47" s="39"/>
      <x:c r="F47" s="39"/>
    </x:row>
    <x:row r="48" ht="25" customHeight="1">
      <x:c r="A48" s="40" t="str">
        <x:v>Module</x:v>
      </x:c>
      <x:c r="B48" s="40" t="str">
        <x:v>Direction</x:v>
      </x:c>
      <x:c r="C48" s="40" t="str">
        <x:v>Signal</x:v>
      </x:c>
      <x:c r="D48" s="40" t="str">
        <x:v>MAX</x:v>
      </x:c>
      <x:c r="E48" s="40" t="str">
        <x:v>TYP</x:v>
      </x:c>
      <x:c r="F48" s="40" t="str">
        <x:v>MIN</x:v>
      </x:c>
    </x:row>
    <x:row r="49" ht="23" customHeight="1">
      <x:c r="A49" s="36" t="str">
        <x:v>io_diff</x:v>
      </x:c>
      <x:c r="B49" s="36" t="str">
        <x:v>DRV</x:v>
      </x:c>
      <x:c r="C49" s="36"/>
      <x:c r="D49" s="36"/>
      <x:c r="E49" s="36"/>
      <x:c r="F49" s="36"/>
    </x:row>
    <x:row r="50" ht="23" customHeight="1">
      <x:c r="A50" s="36" t="str">
        <x:v>io_se</x:v>
      </x:c>
      <x:c r="B50" s="36" t="str">
        <x:v>DRV</x:v>
      </x:c>
      <x:c r="C50" s="36"/>
      <x:c r="D50" s="36"/>
      <x:c r="E50" s="36"/>
      <x:c r="F50" s="36"/>
    </x:row>
    <x:row r="51" ht="23" customHeight="1">
      <x:c r="A51" s="31"/>
      <x:c r="B51" s="31"/>
      <x:c r="C51" s="31"/>
      <x:c r="D51" s="31"/>
      <x:c r="E51" s="31"/>
      <x:c r="F51" s="31"/>
    </x:row>
    <x:row r="52" ht="26" customHeight="1">
      <x:c r="A52" s="39" t="str">
        <x:v>07   MSI Mapping</x:v>
      </x:c>
      <x:c r="B52" s="39"/>
      <x:c r="C52" s="39"/>
      <x:c r="D52" s="39"/>
      <x:c r="E52" s="39"/>
      <x:c r="F52" s="39"/>
    </x:row>
    <x:row r="53" ht="25" customHeight="1">
      <x:c r="A53" s="40" t="str">
        <x:v>Module</x:v>
      </x:c>
      <x:c r="B53" s="40" t="str">
        <x:v>Workbook</x:v>
      </x:c>
      <x:c r="C53" s="40" t="str">
        <x:v>Sheet</x:v>
      </x:c>
      <x:c r="D53" s="40" t="str">
        <x:v>PIN_NAME Column</x:v>
      </x:c>
      <x:c r="E53" s="40" t="str">
        <x:v>Status</x:v>
      </x:c>
      <x:c r="F53" s="43"/>
    </x:row>
    <x:row r="54" ht="23" customHeight="1">
      <x:c r="A54" s="36" t="str">
        <x:v>io_diff</x:v>
      </x:c>
      <x:c r="B54" s="36" t="str">
        <x:v>aks_lpddrphy_io_diff_ew_ibis.xlsx</x:v>
      </x:c>
      <x:c r="C54" s="36" t="str">
        <x:v>io_diff</x:v>
      </x:c>
      <x:c r="D54" s="36" t="str">
        <x:v>PIN_NAME</x:v>
      </x:c>
      <x:c r="E54" s="36" t="str">
        <x:v>AUTO_MATCH</x:v>
      </x:c>
      <x:c r="F54" s="31"/>
    </x:row>
    <x:row r="55" ht="23" customHeight="1">
      <x:c r="A55" s="36" t="str">
        <x:v>io_se</x:v>
      </x:c>
      <x:c r="B55" s="36" t="str">
        <x:v>aks_lpddrphy_io_se_ew_ibis.xlsx</x:v>
      </x:c>
      <x:c r="C55" s="36" t="str">
        <x:v>io_se</x:v>
      </x:c>
      <x:c r="D55" s="36" t="str">
        <x:v>PIN_NAME</x:v>
      </x:c>
      <x:c r="E55" s="36" t="str">
        <x:v>AUTO_MATCH</x:v>
      </x:c>
      <x:c r="F55" s="31"/>
    </x:row>
    <x:row r="56" ht="23" customHeight="1">
      <x:c r="A56" s="31"/>
      <x:c r="B56" s="31"/>
      <x:c r="C56" s="31"/>
      <x:c r="D56" s="31"/>
      <x:c r="E56" s="31"/>
      <x:c r="F56" s="31"/>
    </x:row>
    <x:row r="57" ht="26" customHeight="1">
      <x:c r="A57" s="39" t="str">
        <x:v>Precheck  /  演示状态</x:v>
      </x:c>
      <x:c r="B57" s="39"/>
      <x:c r="C57" s="39"/>
      <x:c r="D57" s="39"/>
      <x:c r="E57" s="39"/>
      <x:c r="F57" s="39"/>
    </x:row>
    <x:row r="58" ht="27" customHeight="1">
      <x:c r="A58" s="36" t="str">
        <x:v>Pin Mapping Completeness</x:v>
      </x:c>
      <x:c r="B58" s="37" t="str">
        <x:f>IF(OR(D29="",D30=""),"BLOCKED","READY")</x:f>
        <x:v>BLOCKED</x:v>
      </x:c>
      <x:c r="C58" s="31"/>
      <x:c r="D58" s="31"/>
      <x:c r="E58" s="31"/>
      <x:c r="F58" s="31"/>
    </x:row>
    <x:row r="59" ht="22" customHeight="1">
      <x:c r="A59" s="33" t="str">
        <x:v>演示数据中仍有 2 个 Pin 未映射，因此正式生成应被阻断；补全并通过其他检查后才能运行。</x:v>
      </x:c>
      <x:c r="B59" s="33"/>
      <x:c r="C59" s="33"/>
      <x:c r="D59" s="33"/>
      <x:c r="E59" s="33"/>
      <x:c r="F59" s="33"/>
    </x:row>
    <x:row r="60" ht="22" customHeight="1">
      <x:c r="A60" s="33" t="str">
        <x:v>CKT x1 实例连接：先原封不动使用 SPF .SUBCKT 全部 Pin 与顺序，再仅替换映射明确的 IBIS Pin。</x:v>
      </x:c>
      <x:c r="B60" s="33"/>
      <x:c r="C60" s="33"/>
      <x:c r="D60" s="33"/>
      <x:c r="E60" s="33"/>
      <x:c r="F60" s="33"/>
    </x:row>
    <x:row r="61" ht="23" customHeight="1">
      <x:c r="A61" s="3"/>
      <x:c r="B61" s="3"/>
      <x:c r="C61" s="3"/>
      <x:c r="D61" s="3"/>
      <x:c r="E61" s="3"/>
      <x:c r="F61" s="3"/>
    </x:row>
  </x:sheetData>
  <x:mergeCells>
    <x:mergeCell ref="A1:F1"/>
    <x:mergeCell ref="A2:F2"/>
    <x:mergeCell ref="A4:F4"/>
    <x:mergeCell ref="A11:F11"/>
    <x:mergeCell ref="A16:F16"/>
    <x:mergeCell ref="A27:F27"/>
    <x:mergeCell ref="A40:F40"/>
    <x:mergeCell ref="A42:F42"/>
    <x:mergeCell ref="A47:F47"/>
    <x:mergeCell ref="A52:F52"/>
    <x:mergeCell ref="A57:F57"/>
    <x:mergeCell ref="A59:F59"/>
    <x:mergeCell ref="A60:F60"/>
  </x:mergeCells>
  <x:dataValidations count="1">
    <x:dataValidation type="list" sqref="D29:D30">
      <x:formula1>"IOPADT,IOPADC"</x:formula1>
    </x:dataValidation>
  </x:dataValidations>
  <x:pageMargins left="0.7" right="0.7" top="0.75" bottom="0.75" header="0.3" footer="0.3"/>
</x:worksheet>
</file>